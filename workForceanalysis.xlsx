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3f5d2c91527f2db4/Documents/DA projects/"/>
    </mc:Choice>
  </mc:AlternateContent>
  <xr:revisionPtr revIDLastSave="74" documentId="13_ncr:1_{D6F493A4-4608-425E-A95F-BEFC525CFB48}" xr6:coauthVersionLast="47" xr6:coauthVersionMax="47" xr10:uidLastSave="{5490CD81-43BF-480A-8274-692B705614D0}"/>
  <bookViews>
    <workbookView xWindow="-108" yWindow="-108" windowWidth="23256" windowHeight="12456" tabRatio="500" xr2:uid="{00000000-000D-0000-FFFF-FFFF00000000}"/>
  </bookViews>
  <sheets>
    <sheet name="cEquality" sheetId="3" r:id="rId1"/>
    <sheet name="mainInsight" sheetId="1" r:id="rId2"/>
  </sheets>
  <calcPr calcId="191029"/>
  <pivotCaches>
    <pivotCache cacheId="7" r:id="rId3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CalcA1"/>
    </ext>
  </extLst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2" i="1"/>
</calcChain>
</file>

<file path=xl/sharedStrings.xml><?xml version="1.0" encoding="utf-8"?>
<sst xmlns="http://schemas.openxmlformats.org/spreadsheetml/2006/main" count="84" uniqueCount="25">
  <si>
    <t>Factory</t>
  </si>
  <si>
    <t>Job Role</t>
  </si>
  <si>
    <t>Equality Score</t>
  </si>
  <si>
    <t>Equality class</t>
  </si>
  <si>
    <t>Daikibo Factory Meiyo</t>
  </si>
  <si>
    <t>C-Level</t>
  </si>
  <si>
    <t>VP</t>
  </si>
  <si>
    <t>Director</t>
  </si>
  <si>
    <t>Sr. Manager</t>
  </si>
  <si>
    <t>Manager</t>
  </si>
  <si>
    <t>Jr. Manager</t>
  </si>
  <si>
    <t>Sr. Engineer</t>
  </si>
  <si>
    <t>Engineer</t>
  </si>
  <si>
    <t>Jr. Engineer</t>
  </si>
  <si>
    <t>Operational Support</t>
  </si>
  <si>
    <t>Machine Operator</t>
  </si>
  <si>
    <t>Daikibo Factory Seiko</t>
  </si>
  <si>
    <t>Daikibo Berlin</t>
  </si>
  <si>
    <t>Daikibo Shenzhen</t>
  </si>
  <si>
    <t>Row Labels</t>
  </si>
  <si>
    <t>Grand Total</t>
  </si>
  <si>
    <t>Fair</t>
  </si>
  <si>
    <t>Highly Discriminative</t>
  </si>
  <si>
    <t>Unfair</t>
  </si>
  <si>
    <t>Count of Equality class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</si>
</sst>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1" xfId="0" applyBorder="1"/>
  </cellXfs>
  <cellStyles count="1">
    <cellStyle name="Normal" xfId="0" builtinId="0"/>
  </cellStyles>
  <dxfs count="4"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Equality Table.xlsx]cEquality!PivotTable2</c:name>
    <c:fmtId val="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2060"/>
                </a:solidFill>
              </a:rPr>
              <a:t>Equality Class Distribution</a:t>
            </a:r>
            <a:r>
              <a:rPr lang="en-IN" sz="1400" b="0" i="0" u="none" strike="noStrike" baseline="0">
                <a:solidFill>
                  <a:srgbClr val="002060"/>
                </a:solidFill>
              </a:rPr>
              <a:t>.</a:t>
            </a:r>
            <a:endParaRPr lang="en-IN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pieChart>
        <c:varyColors val="1"/>
        <c:ser>
          <c:idx val="0"/>
          <c:order val="0"/>
          <c:tx>
            <c:strRef>
              <c:f>cEquality!$B$3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cEquality!$A$4:$A$7</c:f>
              <c:strCache>
                <c:ptCount val="3"/>
                <c:pt idx="0">
                  <c:v>Fair</c:v>
                </c:pt>
                <c:pt idx="1">
                  <c:v>Highly Discriminative</c:v>
                </c:pt>
                <c:pt idx="2">
                  <c:v>Unfair</c:v>
                </c:pt>
              </c:strCache>
            </c:strRef>
          </c:cat>
          <c:val>
            <c:numRef>
              <c:f>cEquality!$B$4:$B$7</c:f>
              <c:numCache>
                <c:formatCode>General</c:formatCode>
                <c:ptCount val="3"/>
                <c:pt idx="0">
                  <c:v>19</c:v>
                </c:pt>
                <c:pt idx="1">
                  <c:v>7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AA2-4430-B8DA-965E334474E8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/>
              <a:t>Average Equality Score by Factory</a:t>
            </a:r>
            <a:r>
              <a:rPr lang="en-IN" sz="1400" b="0" i="0" u="none" strike="noStrike" baseline="0"/>
              <a:t>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5"/>
          </a:solidFill>
          <a:ln>
            <a:solidFill>
              <a:srgbClr val="002060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v>Total</c:v>
          </c:tx>
          <c:spPr>
            <a:solidFill>
              <a:schemeClr val="accent5"/>
            </a:solidFill>
            <a:ln>
              <a:solidFill>
                <a:srgbClr val="002060"/>
              </a:solidFill>
            </a:ln>
            <a:effectLst/>
          </c:spPr>
          <c:invertIfNegative val="0"/>
          <c:cat>
            <c:strLit>
              <c:ptCount val="4"/>
              <c:pt idx="0">
                <c:v>Daikibo Berlin</c:v>
              </c:pt>
              <c:pt idx="1">
                <c:v>Daikibo Factory Meiyo</c:v>
              </c:pt>
              <c:pt idx="2">
                <c:v>Daikibo Factory Seiko</c:v>
              </c:pt>
              <c:pt idx="3">
                <c:v>Daikibo Shenzhen</c:v>
              </c:pt>
            </c:strLit>
          </c:cat>
          <c:val>
            <c:numLit>
              <c:formatCode>General</c:formatCode>
              <c:ptCount val="4"/>
              <c:pt idx="0">
                <c:v>-5.5</c:v>
              </c:pt>
              <c:pt idx="1">
                <c:v>-14.363636363636363</c:v>
              </c:pt>
              <c:pt idx="2">
                <c:v>-12.6</c:v>
              </c:pt>
              <c:pt idx="3">
                <c:v>-10</c:v>
              </c:pt>
            </c:numLit>
          </c:val>
          <c:extLst>
            <c:ext xmlns:c16="http://schemas.microsoft.com/office/drawing/2014/chart" uri="{C3380CC4-5D6E-409C-BE32-E72D297353CC}">
              <c16:uniqueId val="{00000000-4F37-49D6-8828-70EA640965F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259675248"/>
        <c:axId val="1259679088"/>
      </c:barChart>
      <c:catAx>
        <c:axId val="1259675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vert="horz" wrap="square" anchor="t" anchorCtr="0"/>
          <a:lstStyle/>
          <a:p>
            <a:pPr>
              <a:defRPr sz="900" b="0" i="0" u="none" strike="noStrike" kern="1200" baseline="0">
                <a:solidFill>
                  <a:schemeClr val="tx1">
                    <a:lumMod val="95000"/>
                    <a:lumOff val="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679088"/>
        <c:crosses val="autoZero"/>
        <c:auto val="1"/>
        <c:lblAlgn val="ctr"/>
        <c:lblOffset val="100"/>
        <c:noMultiLvlLbl val="0"/>
      </c:catAx>
      <c:valAx>
        <c:axId val="12596790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9675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[Task 5 Equality Table.xlsx]cEquality!PivotTable2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rgbClr val="002060"/>
                </a:solidFill>
                <a:latin typeface="+mn-lt"/>
                <a:ea typeface="+mn-ea"/>
                <a:cs typeface="+mn-cs"/>
              </a:defRPr>
            </a:pPr>
            <a:r>
              <a:rPr lang="en-IN" sz="1400" b="1" i="0" u="none" strike="noStrike" baseline="0">
                <a:solidFill>
                  <a:srgbClr val="002060"/>
                </a:solidFill>
              </a:rPr>
              <a:t>Equality Class Distribution</a:t>
            </a:r>
            <a:r>
              <a:rPr lang="en-IN" sz="1400" b="0" i="0" u="none" strike="noStrike" baseline="0">
                <a:solidFill>
                  <a:srgbClr val="002060"/>
                </a:solidFill>
              </a:rPr>
              <a:t>.</a:t>
            </a:r>
            <a:endParaRPr lang="en-IN">
              <a:solidFill>
                <a:srgbClr val="002060"/>
              </a:solidFill>
            </a:endParaRP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rgbClr val="002060"/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bestFit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5"/>
        <c:spPr>
          <a:solidFill>
            <a:schemeClr val="accent1"/>
          </a:solidFill>
          <a:ln w="19050"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0"/>
          <c:showCatName val="0"/>
          <c:showSerName val="0"/>
          <c:showPercent val="1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92D050"/>
          </a:solidFill>
          <a:ln w="19050">
            <a:noFill/>
          </a:ln>
          <a:effectLst/>
        </c:spPr>
      </c:pivotFmt>
      <c:pivotFmt>
        <c:idx val="7"/>
        <c:spPr>
          <a:solidFill>
            <a:srgbClr val="FF0000"/>
          </a:solidFill>
          <a:ln w="19050">
            <a:noFill/>
          </a:ln>
          <a:effectLst/>
        </c:spPr>
      </c:pivotFmt>
      <c:pivotFmt>
        <c:idx val="8"/>
        <c:spPr>
          <a:solidFill>
            <a:schemeClr val="accent2"/>
          </a:solidFill>
          <a:ln w="19050">
            <a:noFill/>
          </a:ln>
          <a:effectLst/>
        </c:spPr>
      </c:pivotFmt>
    </c:pivotFmts>
    <c:plotArea>
      <c:layout>
        <c:manualLayout>
          <c:layoutTarget val="inner"/>
          <c:xMode val="edge"/>
          <c:yMode val="edge"/>
          <c:x val="0.21234558180227472"/>
          <c:y val="0.31714202391367746"/>
          <c:w val="0.35240048118985129"/>
          <c:h val="0.58733413531641876"/>
        </c:manualLayout>
      </c:layout>
      <c:pieChart>
        <c:varyColors val="1"/>
        <c:ser>
          <c:idx val="0"/>
          <c:order val="0"/>
          <c:tx>
            <c:strRef>
              <c:f>cEquality!$B$3</c:f>
              <c:strCache>
                <c:ptCount val="1"/>
                <c:pt idx="0">
                  <c:v>Total</c:v>
                </c:pt>
              </c:strCache>
            </c:strRef>
          </c:tx>
          <c:spPr>
            <a:ln>
              <a:noFill/>
            </a:ln>
            <a:effectLst/>
          </c:spPr>
          <c:dPt>
            <c:idx val="0"/>
            <c:bubble3D val="0"/>
            <c:spPr>
              <a:solidFill>
                <a:srgbClr val="92D05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8AA9-4FDF-90B5-BC88077B1212}"/>
              </c:ext>
            </c:extLst>
          </c:dPt>
          <c:dPt>
            <c:idx val="1"/>
            <c:bubble3D val="0"/>
            <c:spPr>
              <a:solidFill>
                <a:srgbClr val="FF0000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3-8AA9-4FDF-90B5-BC88077B1212}"/>
              </c:ext>
            </c:extLst>
          </c:dPt>
          <c:dPt>
            <c:idx val="2"/>
            <c:bubble3D val="0"/>
            <c:spPr>
              <a:solidFill>
                <a:schemeClr val="accent2"/>
              </a:solidFill>
              <a:ln w="19050"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5-8AA9-4FDF-90B5-BC88077B1212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cEquality!$A$4:$A$7</c:f>
              <c:strCache>
                <c:ptCount val="3"/>
                <c:pt idx="0">
                  <c:v>Fair</c:v>
                </c:pt>
                <c:pt idx="1">
                  <c:v>Highly Discriminative</c:v>
                </c:pt>
                <c:pt idx="2">
                  <c:v>Unfair</c:v>
                </c:pt>
              </c:strCache>
            </c:strRef>
          </c:cat>
          <c:val>
            <c:numRef>
              <c:f>cEquality!$B$4:$B$7</c:f>
              <c:numCache>
                <c:formatCode>General</c:formatCode>
                <c:ptCount val="3"/>
                <c:pt idx="0">
                  <c:v>19</c:v>
                </c:pt>
                <c:pt idx="1">
                  <c:v>7</c:v>
                </c:pt>
                <c:pt idx="2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AA9-4FDF-90B5-BC88077B1212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167646</xdr:colOff>
      <xdr:row>1</xdr:row>
      <xdr:rowOff>133350</xdr:rowOff>
    </xdr:from>
    <xdr:to>
      <xdr:col>9</xdr:col>
      <xdr:colOff>472446</xdr:colOff>
      <xdr:row>18</xdr:row>
      <xdr:rowOff>26670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CF8F06F-4141-DC6F-6BC9-11DD5F1389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7620</xdr:colOff>
      <xdr:row>0</xdr:row>
      <xdr:rowOff>7620</xdr:rowOff>
    </xdr:from>
    <xdr:to>
      <xdr:col>11</xdr:col>
      <xdr:colOff>60960</xdr:colOff>
      <xdr:row>16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576FE3A-9B92-4195-96FE-B544D1E6DB1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15240</xdr:colOff>
      <xdr:row>16</xdr:row>
      <xdr:rowOff>83820</xdr:rowOff>
    </xdr:from>
    <xdr:to>
      <xdr:col>9</xdr:col>
      <xdr:colOff>624840</xdr:colOff>
      <xdr:row>32</xdr:row>
      <xdr:rowOff>144780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2A89B31-4EC4-4F8F-9F88-A6B76766EC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4</xdr:col>
      <xdr:colOff>53340</xdr:colOff>
      <xdr:row>33</xdr:row>
      <xdr:rowOff>45720</xdr:rowOff>
    </xdr:from>
    <xdr:to>
      <xdr:col>8</xdr:col>
      <xdr:colOff>312420</xdr:colOff>
      <xdr:row>44</xdr:row>
      <xdr:rowOff>45720</xdr:rowOff>
    </xdr:to>
    <xdr:sp macro="" textlink="">
      <xdr:nvSpPr>
        <xdr:cNvPr id="4" name="Rectangle: Rounded Corners 3">
          <a:extLst>
            <a:ext uri="{FF2B5EF4-FFF2-40B4-BE49-F238E27FC236}">
              <a16:creationId xmlns:a16="http://schemas.microsoft.com/office/drawing/2014/main" id="{240115CA-7923-0930-F15B-F29163B63984}"/>
            </a:ext>
          </a:extLst>
        </xdr:cNvPr>
        <xdr:cNvSpPr/>
      </xdr:nvSpPr>
      <xdr:spPr>
        <a:xfrm>
          <a:off x="5257800" y="5577840"/>
          <a:ext cx="3429000" cy="1844040"/>
        </a:xfrm>
        <a:prstGeom prst="roundRect">
          <a:avLst/>
        </a:prstGeom>
        <a:ln>
          <a:solidFill>
            <a:schemeClr val="tx1"/>
          </a:solidFill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Fair roles dominate the workforce, but the distribution shows that inequality is still present in multiple job roles.</a:t>
          </a:r>
          <a:br>
            <a:rPr lang="en-IN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Meiyo and Shenzhen factories record the lowest equality scores, signaling higher risks of internal bias.</a:t>
          </a:r>
          <a:br>
            <a:rPr lang="en-IN">
              <a:latin typeface="Arial" panose="020B0604020202020204" pitchFamily="34" charset="0"/>
              <a:cs typeface="Arial" panose="020B0604020202020204" pitchFamily="34" charset="0"/>
            </a:rPr>
          </a:br>
          <a:r>
            <a:rPr lang="en-IN">
              <a:latin typeface="Arial" panose="020B0604020202020204" pitchFamily="34" charset="0"/>
              <a:cs typeface="Arial" panose="020B0604020202020204" pitchFamily="34" charset="0"/>
            </a:rPr>
            <a:t>A noticeable number of roles fall under the Highly Discriminative category, requiring urgent HR review</a:t>
          </a:r>
          <a:r>
            <a:rPr lang="en-IN"/>
            <a:t>.</a:t>
          </a:r>
          <a:endParaRPr lang="en-IN" sz="1100"/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T NAMRATHA PADIYAR" refreshedDate="46002.507340509263" createdVersion="8" refreshedVersion="8" minRefreshableVersion="3" recordCount="37" xr:uid="{C6734F11-CCF7-44C4-91EF-F19C84571C0A}">
  <cacheSource type="worksheet">
    <worksheetSource name="Table1"/>
  </cacheSource>
  <cacheFields count="4">
    <cacheField name="Factory" numFmtId="0">
      <sharedItems/>
    </cacheField>
    <cacheField name="Job Role" numFmtId="0">
      <sharedItems/>
    </cacheField>
    <cacheField name="Equality Score" numFmtId="0">
      <sharedItems containsSemiMixedTypes="0" containsString="0" containsNumber="1" containsInteger="1" minValue="-26" maxValue="4"/>
    </cacheField>
    <cacheField name="Equality class" numFmtId="0">
      <sharedItems count="3">
        <s v="Highly Discriminative"/>
        <s v="Unfair"/>
        <s v="Fair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7">
  <r>
    <s v="Daikibo Factory Meiyo"/>
    <s v="C-Level"/>
    <n v="-25"/>
    <x v="0"/>
  </r>
  <r>
    <s v="Daikibo Factory Meiyo"/>
    <s v="VP"/>
    <n v="-26"/>
    <x v="0"/>
  </r>
  <r>
    <s v="Daikibo Factory Meiyo"/>
    <s v="Director"/>
    <n v="-19"/>
    <x v="1"/>
  </r>
  <r>
    <s v="Daikibo Factory Meiyo"/>
    <s v="Sr. Manager"/>
    <n v="-15"/>
    <x v="1"/>
  </r>
  <r>
    <s v="Daikibo Factory Meiyo"/>
    <s v="Manager"/>
    <n v="-14"/>
    <x v="1"/>
  </r>
  <r>
    <s v="Daikibo Factory Meiyo"/>
    <s v="Jr. Manager"/>
    <n v="-20"/>
    <x v="1"/>
  </r>
  <r>
    <s v="Daikibo Factory Meiyo"/>
    <s v="Sr. Engineer"/>
    <n v="-5"/>
    <x v="2"/>
  </r>
  <r>
    <s v="Daikibo Factory Meiyo"/>
    <s v="Engineer"/>
    <n v="-8"/>
    <x v="2"/>
  </r>
  <r>
    <s v="Daikibo Factory Meiyo"/>
    <s v="Jr. Engineer"/>
    <n v="3"/>
    <x v="2"/>
  </r>
  <r>
    <s v="Daikibo Factory Meiyo"/>
    <s v="Operational Support"/>
    <n v="-22"/>
    <x v="0"/>
  </r>
  <r>
    <s v="Daikibo Factory Meiyo"/>
    <s v="Machine Operator"/>
    <n v="-7"/>
    <x v="2"/>
  </r>
  <r>
    <s v="Daikibo Factory Seiko"/>
    <s v="VP"/>
    <n v="-19"/>
    <x v="1"/>
  </r>
  <r>
    <s v="Daikibo Factory Seiko"/>
    <s v="Director"/>
    <n v="-10"/>
    <x v="2"/>
  </r>
  <r>
    <s v="Daikibo Factory Seiko"/>
    <s v="Sr. Manager"/>
    <n v="-21"/>
    <x v="0"/>
  </r>
  <r>
    <s v="Daikibo Factory Seiko"/>
    <s v="Manager"/>
    <n v="-21"/>
    <x v="0"/>
  </r>
  <r>
    <s v="Daikibo Factory Seiko"/>
    <s v="Jr. Manager"/>
    <n v="-24"/>
    <x v="0"/>
  </r>
  <r>
    <s v="Daikibo Factory Seiko"/>
    <s v="Sr. Engineer"/>
    <n v="-4"/>
    <x v="2"/>
  </r>
  <r>
    <s v="Daikibo Factory Seiko"/>
    <s v="Engineer"/>
    <n v="-7"/>
    <x v="2"/>
  </r>
  <r>
    <s v="Daikibo Factory Seiko"/>
    <s v="Jr. Engineer"/>
    <n v="4"/>
    <x v="2"/>
  </r>
  <r>
    <s v="Daikibo Factory Seiko"/>
    <s v="Operational Support"/>
    <n v="-19"/>
    <x v="1"/>
  </r>
  <r>
    <s v="Daikibo Factory Seiko"/>
    <s v="Machine Operator"/>
    <n v="-5"/>
    <x v="2"/>
  </r>
  <r>
    <s v="Daikibo Berlin"/>
    <s v="Sr. Manager"/>
    <n v="-15"/>
    <x v="1"/>
  </r>
  <r>
    <s v="Daikibo Berlin"/>
    <s v="Manager"/>
    <n v="-16"/>
    <x v="1"/>
  </r>
  <r>
    <s v="Daikibo Berlin"/>
    <s v="Jr. Manager"/>
    <n v="-17"/>
    <x v="1"/>
  </r>
  <r>
    <s v="Daikibo Berlin"/>
    <s v="Sr. Engineer"/>
    <n v="4"/>
    <x v="2"/>
  </r>
  <r>
    <s v="Daikibo Berlin"/>
    <s v="Engineer"/>
    <n v="2"/>
    <x v="2"/>
  </r>
  <r>
    <s v="Daikibo Berlin"/>
    <s v="Jr. Engineer"/>
    <n v="4"/>
    <x v="2"/>
  </r>
  <r>
    <s v="Daikibo Berlin"/>
    <s v="Operational Support"/>
    <n v="0"/>
    <x v="2"/>
  </r>
  <r>
    <s v="Daikibo Berlin"/>
    <s v="Machine Operator"/>
    <n v="-6"/>
    <x v="2"/>
  </r>
  <r>
    <s v="Daikibo Shenzhen"/>
    <s v="Sr. Manager"/>
    <n v="-21"/>
    <x v="0"/>
  </r>
  <r>
    <s v="Daikibo Shenzhen"/>
    <s v="Manager"/>
    <n v="-19"/>
    <x v="1"/>
  </r>
  <r>
    <s v="Daikibo Shenzhen"/>
    <s v="Jr. Manager"/>
    <n v="-20"/>
    <x v="1"/>
  </r>
  <r>
    <s v="Daikibo Shenzhen"/>
    <s v="Sr. Engineer"/>
    <n v="-5"/>
    <x v="2"/>
  </r>
  <r>
    <s v="Daikibo Shenzhen"/>
    <s v="Engineer"/>
    <n v="-4"/>
    <x v="2"/>
  </r>
  <r>
    <s v="Daikibo Shenzhen"/>
    <s v="Jr. Engineer"/>
    <n v="3"/>
    <x v="2"/>
  </r>
  <r>
    <s v="Daikibo Shenzhen"/>
    <s v="Operational Support"/>
    <n v="-7"/>
    <x v="2"/>
  </r>
  <r>
    <s v="Daikibo Shenzhen"/>
    <s v="Machine Operator"/>
    <n v="-7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ABE017-EBA9-4595-A651-36BAC35C765C}" name="PivotTable2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B7" firstHeaderRow="1" firstDataRow="1" firstDataCol="1"/>
  <pivotFields count="4">
    <pivotField showAll="0"/>
    <pivotField showAll="0"/>
    <pivotField showAll="0"/>
    <pivotField axis="axisRow" dataField="1" showAll="0">
      <items count="4">
        <item x="2"/>
        <item x="0"/>
        <item x="1"/>
        <item t="default"/>
      </items>
    </pivotField>
  </pivotFields>
  <rowFields count="1">
    <field x="3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Equality class" fld="3" subtotal="count" baseField="0" baseItem="0"/>
  </dataFields>
  <chartFormats count="5">
    <chartFormat chart="2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5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6">
      <pivotArea type="data" outline="0" fieldPosition="0">
        <references count="2">
          <reference field="4294967294" count="1" selected="0">
            <x v="0"/>
          </reference>
          <reference field="3" count="1" selected="0">
            <x v="0"/>
          </reference>
        </references>
      </pivotArea>
    </chartFormat>
    <chartFormat chart="5" format="7">
      <pivotArea type="data" outline="0" fieldPosition="0">
        <references count="2">
          <reference field="4294967294" count="1" selected="0">
            <x v="0"/>
          </reference>
          <reference field="3" count="1" selected="0">
            <x v="1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3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519BEC0-D115-4418-9EF0-7D8D6C9C9923}" name="Table1" displayName="Table1" ref="A1:D38" totalsRowShown="0">
  <autoFilter ref="A1:D38" xr:uid="{B519BEC0-D115-4418-9EF0-7D8D6C9C9923}"/>
  <tableColumns count="4">
    <tableColumn id="1" xr3:uid="{ED439C04-C66C-4846-B011-2A35B81BCDA6}" name="Factory" dataDxfId="3"/>
    <tableColumn id="2" xr3:uid="{FAA71A1E-8782-4A8E-B1A3-AE8891DCBD26}" name="Job Role" dataDxfId="2"/>
    <tableColumn id="3" xr3:uid="{1EC9E7FE-DF3A-4065-BBF7-CE6B930256E5}" name="Equality Score" dataDxfId="1"/>
    <tableColumn id="4" xr3:uid="{79B7DEF0-17C3-4934-BB6E-BE0A8DB5783E}" name="Equality class" dataDxfId="0">
      <calculatedColumnFormula>IF(ABS(C2)&lt;=10,"Fair", IF(ABS(C2)&gt;20,"Highly Discriminative","Unfair"))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8B31D9-B08D-4672-A919-23DAC38D2FFC}">
  <dimension ref="A3:B7"/>
  <sheetViews>
    <sheetView showGridLines="0" tabSelected="1" workbookViewId="0">
      <selection activeCell="K24" sqref="K24"/>
    </sheetView>
  </sheetViews>
  <sheetFormatPr defaultRowHeight="13.2" x14ac:dyDescent="0.25"/>
  <cols>
    <col min="1" max="1" width="18.109375" bestFit="1" customWidth="1"/>
    <col min="2" max="2" width="21.44140625" bestFit="1" customWidth="1"/>
  </cols>
  <sheetData>
    <row r="3" spans="1:2" x14ac:dyDescent="0.25">
      <c r="A3" s="1" t="s">
        <v>19</v>
      </c>
      <c r="B3" t="s">
        <v>24</v>
      </c>
    </row>
    <row r="4" spans="1:2" x14ac:dyDescent="0.25">
      <c r="A4" s="2" t="s">
        <v>21</v>
      </c>
      <c r="B4" s="3">
        <v>19</v>
      </c>
    </row>
    <row r="5" spans="1:2" x14ac:dyDescent="0.25">
      <c r="A5" s="2" t="s">
        <v>22</v>
      </c>
      <c r="B5" s="3">
        <v>7</v>
      </c>
    </row>
    <row r="6" spans="1:2" x14ac:dyDescent="0.25">
      <c r="A6" s="2" t="s">
        <v>23</v>
      </c>
      <c r="B6" s="3">
        <v>11</v>
      </c>
    </row>
    <row r="7" spans="1:2" x14ac:dyDescent="0.25">
      <c r="A7" s="2" t="s">
        <v>20</v>
      </c>
      <c r="B7" s="3">
        <v>37</v>
      </c>
    </row>
  </sheetData>
  <pageMargins left="0.7" right="0.7" top="0.75" bottom="0.75" header="0.3" footer="0.3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8"/>
  <sheetViews>
    <sheetView showGridLines="0" topLeftCell="A2" zoomScaleNormal="100" workbookViewId="0">
      <selection activeCell="L42" sqref="L42"/>
    </sheetView>
  </sheetViews>
  <sheetFormatPr defaultColWidth="11.5546875" defaultRowHeight="13.2" x14ac:dyDescent="0.25"/>
  <cols>
    <col min="1" max="1" width="19.21875" customWidth="1"/>
    <col min="2" max="2" width="18.109375" customWidth="1"/>
    <col min="3" max="3" width="15.5546875" customWidth="1"/>
    <col min="4" max="4" width="23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4" t="s">
        <v>4</v>
      </c>
      <c r="B2" s="4" t="s">
        <v>5</v>
      </c>
      <c r="C2" s="4">
        <v>-25</v>
      </c>
      <c r="D2" s="4" t="str">
        <f>IF(ABS(C2)&lt;=10,"Fair", IF(ABS(C2)&gt;20,"Highly Discriminative","Unfair"))</f>
        <v>Highly Discriminative</v>
      </c>
    </row>
    <row r="3" spans="1:4" x14ac:dyDescent="0.25">
      <c r="A3" s="4" t="s">
        <v>4</v>
      </c>
      <c r="B3" s="4" t="s">
        <v>6</v>
      </c>
      <c r="C3" s="4">
        <v>-26</v>
      </c>
      <c r="D3" s="4" t="str">
        <f t="shared" ref="D3:D38" si="0">IF(ABS(C3)&lt;=10,"Fair", IF(ABS(C3)&gt;20,"Highly Discriminative","Unfair"))</f>
        <v>Highly Discriminative</v>
      </c>
    </row>
    <row r="4" spans="1:4" x14ac:dyDescent="0.25">
      <c r="A4" s="4" t="s">
        <v>4</v>
      </c>
      <c r="B4" s="4" t="s">
        <v>7</v>
      </c>
      <c r="C4" s="4">
        <v>-19</v>
      </c>
      <c r="D4" s="4" t="str">
        <f t="shared" si="0"/>
        <v>Unfair</v>
      </c>
    </row>
    <row r="5" spans="1:4" x14ac:dyDescent="0.25">
      <c r="A5" s="4" t="s">
        <v>4</v>
      </c>
      <c r="B5" s="4" t="s">
        <v>8</v>
      </c>
      <c r="C5" s="4">
        <v>-15</v>
      </c>
      <c r="D5" s="4" t="str">
        <f t="shared" si="0"/>
        <v>Unfair</v>
      </c>
    </row>
    <row r="6" spans="1:4" x14ac:dyDescent="0.25">
      <c r="A6" s="4" t="s">
        <v>4</v>
      </c>
      <c r="B6" s="4" t="s">
        <v>9</v>
      </c>
      <c r="C6" s="4">
        <v>-14</v>
      </c>
      <c r="D6" s="4" t="str">
        <f t="shared" si="0"/>
        <v>Unfair</v>
      </c>
    </row>
    <row r="7" spans="1:4" x14ac:dyDescent="0.25">
      <c r="A7" s="4" t="s">
        <v>4</v>
      </c>
      <c r="B7" s="4" t="s">
        <v>10</v>
      </c>
      <c r="C7" s="4">
        <v>-20</v>
      </c>
      <c r="D7" s="4" t="str">
        <f t="shared" si="0"/>
        <v>Unfair</v>
      </c>
    </row>
    <row r="8" spans="1:4" x14ac:dyDescent="0.25">
      <c r="A8" s="4" t="s">
        <v>4</v>
      </c>
      <c r="B8" s="4" t="s">
        <v>11</v>
      </c>
      <c r="C8" s="4">
        <v>-5</v>
      </c>
      <c r="D8" s="4" t="str">
        <f t="shared" si="0"/>
        <v>Fair</v>
      </c>
    </row>
    <row r="9" spans="1:4" x14ac:dyDescent="0.25">
      <c r="A9" s="4" t="s">
        <v>4</v>
      </c>
      <c r="B9" s="4" t="s">
        <v>12</v>
      </c>
      <c r="C9" s="4">
        <v>-8</v>
      </c>
      <c r="D9" s="4" t="str">
        <f t="shared" si="0"/>
        <v>Fair</v>
      </c>
    </row>
    <row r="10" spans="1:4" x14ac:dyDescent="0.25">
      <c r="A10" s="4" t="s">
        <v>4</v>
      </c>
      <c r="B10" s="4" t="s">
        <v>13</v>
      </c>
      <c r="C10" s="4">
        <v>3</v>
      </c>
      <c r="D10" s="4" t="str">
        <f t="shared" si="0"/>
        <v>Fair</v>
      </c>
    </row>
    <row r="11" spans="1:4" x14ac:dyDescent="0.25">
      <c r="A11" s="4" t="s">
        <v>4</v>
      </c>
      <c r="B11" s="4" t="s">
        <v>14</v>
      </c>
      <c r="C11" s="4">
        <v>-22</v>
      </c>
      <c r="D11" s="4" t="str">
        <f t="shared" si="0"/>
        <v>Highly Discriminative</v>
      </c>
    </row>
    <row r="12" spans="1:4" x14ac:dyDescent="0.25">
      <c r="A12" s="4" t="s">
        <v>4</v>
      </c>
      <c r="B12" s="4" t="s">
        <v>15</v>
      </c>
      <c r="C12" s="4">
        <v>-7</v>
      </c>
      <c r="D12" s="4" t="str">
        <f t="shared" si="0"/>
        <v>Fair</v>
      </c>
    </row>
    <row r="13" spans="1:4" x14ac:dyDescent="0.25">
      <c r="A13" s="4" t="s">
        <v>16</v>
      </c>
      <c r="B13" s="4" t="s">
        <v>6</v>
      </c>
      <c r="C13" s="4">
        <v>-19</v>
      </c>
      <c r="D13" s="4" t="str">
        <f t="shared" si="0"/>
        <v>Unfair</v>
      </c>
    </row>
    <row r="14" spans="1:4" x14ac:dyDescent="0.25">
      <c r="A14" s="4" t="s">
        <v>16</v>
      </c>
      <c r="B14" s="4" t="s">
        <v>7</v>
      </c>
      <c r="C14" s="4">
        <v>-10</v>
      </c>
      <c r="D14" s="4" t="str">
        <f t="shared" si="0"/>
        <v>Fair</v>
      </c>
    </row>
    <row r="15" spans="1:4" x14ac:dyDescent="0.25">
      <c r="A15" s="4" t="s">
        <v>16</v>
      </c>
      <c r="B15" s="4" t="s">
        <v>8</v>
      </c>
      <c r="C15" s="4">
        <v>-21</v>
      </c>
      <c r="D15" s="4" t="str">
        <f t="shared" si="0"/>
        <v>Highly Discriminative</v>
      </c>
    </row>
    <row r="16" spans="1:4" x14ac:dyDescent="0.25">
      <c r="A16" s="4" t="s">
        <v>16</v>
      </c>
      <c r="B16" s="4" t="s">
        <v>9</v>
      </c>
      <c r="C16" s="4">
        <v>-21</v>
      </c>
      <c r="D16" s="4" t="str">
        <f t="shared" si="0"/>
        <v>Highly Discriminative</v>
      </c>
    </row>
    <row r="17" spans="1:4" x14ac:dyDescent="0.25">
      <c r="A17" s="4" t="s">
        <v>16</v>
      </c>
      <c r="B17" s="4" t="s">
        <v>10</v>
      </c>
      <c r="C17" s="4">
        <v>-24</v>
      </c>
      <c r="D17" s="4" t="str">
        <f t="shared" si="0"/>
        <v>Highly Discriminative</v>
      </c>
    </row>
    <row r="18" spans="1:4" x14ac:dyDescent="0.25">
      <c r="A18" s="4" t="s">
        <v>16</v>
      </c>
      <c r="B18" s="4" t="s">
        <v>11</v>
      </c>
      <c r="C18" s="4">
        <v>-4</v>
      </c>
      <c r="D18" s="4" t="str">
        <f t="shared" si="0"/>
        <v>Fair</v>
      </c>
    </row>
    <row r="19" spans="1:4" x14ac:dyDescent="0.25">
      <c r="A19" s="4" t="s">
        <v>16</v>
      </c>
      <c r="B19" s="4" t="s">
        <v>12</v>
      </c>
      <c r="C19" s="4">
        <v>-7</v>
      </c>
      <c r="D19" s="4" t="str">
        <f t="shared" si="0"/>
        <v>Fair</v>
      </c>
    </row>
    <row r="20" spans="1:4" x14ac:dyDescent="0.25">
      <c r="A20" s="4" t="s">
        <v>16</v>
      </c>
      <c r="B20" s="4" t="s">
        <v>13</v>
      </c>
      <c r="C20" s="4">
        <v>4</v>
      </c>
      <c r="D20" s="4" t="str">
        <f t="shared" si="0"/>
        <v>Fair</v>
      </c>
    </row>
    <row r="21" spans="1:4" x14ac:dyDescent="0.25">
      <c r="A21" s="4" t="s">
        <v>16</v>
      </c>
      <c r="B21" s="4" t="s">
        <v>14</v>
      </c>
      <c r="C21" s="4">
        <v>-19</v>
      </c>
      <c r="D21" s="4" t="str">
        <f t="shared" si="0"/>
        <v>Unfair</v>
      </c>
    </row>
    <row r="22" spans="1:4" x14ac:dyDescent="0.25">
      <c r="A22" s="4" t="s">
        <v>16</v>
      </c>
      <c r="B22" s="4" t="s">
        <v>15</v>
      </c>
      <c r="C22" s="4">
        <v>-5</v>
      </c>
      <c r="D22" s="4" t="str">
        <f t="shared" si="0"/>
        <v>Fair</v>
      </c>
    </row>
    <row r="23" spans="1:4" x14ac:dyDescent="0.25">
      <c r="A23" s="4" t="s">
        <v>17</v>
      </c>
      <c r="B23" s="4" t="s">
        <v>8</v>
      </c>
      <c r="C23" s="4">
        <v>-15</v>
      </c>
      <c r="D23" s="4" t="str">
        <f t="shared" si="0"/>
        <v>Unfair</v>
      </c>
    </row>
    <row r="24" spans="1:4" x14ac:dyDescent="0.25">
      <c r="A24" s="4" t="s">
        <v>17</v>
      </c>
      <c r="B24" s="4" t="s">
        <v>9</v>
      </c>
      <c r="C24" s="4">
        <v>-16</v>
      </c>
      <c r="D24" s="4" t="str">
        <f t="shared" si="0"/>
        <v>Unfair</v>
      </c>
    </row>
    <row r="25" spans="1:4" x14ac:dyDescent="0.25">
      <c r="A25" s="4" t="s">
        <v>17</v>
      </c>
      <c r="B25" s="4" t="s">
        <v>10</v>
      </c>
      <c r="C25" s="4">
        <v>-17</v>
      </c>
      <c r="D25" s="4" t="str">
        <f t="shared" si="0"/>
        <v>Unfair</v>
      </c>
    </row>
    <row r="26" spans="1:4" x14ac:dyDescent="0.25">
      <c r="A26" s="4" t="s">
        <v>17</v>
      </c>
      <c r="B26" s="4" t="s">
        <v>11</v>
      </c>
      <c r="C26" s="4">
        <v>4</v>
      </c>
      <c r="D26" s="4" t="str">
        <f t="shared" si="0"/>
        <v>Fair</v>
      </c>
    </row>
    <row r="27" spans="1:4" x14ac:dyDescent="0.25">
      <c r="A27" s="4" t="s">
        <v>17</v>
      </c>
      <c r="B27" s="4" t="s">
        <v>12</v>
      </c>
      <c r="C27" s="4">
        <v>2</v>
      </c>
      <c r="D27" s="4" t="str">
        <f t="shared" si="0"/>
        <v>Fair</v>
      </c>
    </row>
    <row r="28" spans="1:4" x14ac:dyDescent="0.25">
      <c r="A28" s="4" t="s">
        <v>17</v>
      </c>
      <c r="B28" s="4" t="s">
        <v>13</v>
      </c>
      <c r="C28" s="4">
        <v>4</v>
      </c>
      <c r="D28" s="4" t="str">
        <f t="shared" si="0"/>
        <v>Fair</v>
      </c>
    </row>
    <row r="29" spans="1:4" x14ac:dyDescent="0.25">
      <c r="A29" s="4" t="s">
        <v>17</v>
      </c>
      <c r="B29" s="4" t="s">
        <v>14</v>
      </c>
      <c r="C29" s="4">
        <v>0</v>
      </c>
      <c r="D29" s="4" t="str">
        <f t="shared" si="0"/>
        <v>Fair</v>
      </c>
    </row>
    <row r="30" spans="1:4" x14ac:dyDescent="0.25">
      <c r="A30" s="4" t="s">
        <v>17</v>
      </c>
      <c r="B30" s="4" t="s">
        <v>15</v>
      </c>
      <c r="C30" s="4">
        <v>-6</v>
      </c>
      <c r="D30" s="4" t="str">
        <f t="shared" si="0"/>
        <v>Fair</v>
      </c>
    </row>
    <row r="31" spans="1:4" x14ac:dyDescent="0.25">
      <c r="A31" s="4" t="s">
        <v>18</v>
      </c>
      <c r="B31" s="4" t="s">
        <v>8</v>
      </c>
      <c r="C31" s="4">
        <v>-21</v>
      </c>
      <c r="D31" s="4" t="str">
        <f t="shared" si="0"/>
        <v>Highly Discriminative</v>
      </c>
    </row>
    <row r="32" spans="1:4" x14ac:dyDescent="0.25">
      <c r="A32" s="4" t="s">
        <v>18</v>
      </c>
      <c r="B32" s="4" t="s">
        <v>9</v>
      </c>
      <c r="C32" s="4">
        <v>-19</v>
      </c>
      <c r="D32" s="4" t="str">
        <f t="shared" si="0"/>
        <v>Unfair</v>
      </c>
    </row>
    <row r="33" spans="1:4" x14ac:dyDescent="0.25">
      <c r="A33" s="4" t="s">
        <v>18</v>
      </c>
      <c r="B33" s="4" t="s">
        <v>10</v>
      </c>
      <c r="C33" s="4">
        <v>-20</v>
      </c>
      <c r="D33" s="4" t="str">
        <f t="shared" si="0"/>
        <v>Unfair</v>
      </c>
    </row>
    <row r="34" spans="1:4" x14ac:dyDescent="0.25">
      <c r="A34" s="4" t="s">
        <v>18</v>
      </c>
      <c r="B34" s="4" t="s">
        <v>11</v>
      </c>
      <c r="C34" s="4">
        <v>-5</v>
      </c>
      <c r="D34" s="4" t="str">
        <f t="shared" si="0"/>
        <v>Fair</v>
      </c>
    </row>
    <row r="35" spans="1:4" x14ac:dyDescent="0.25">
      <c r="A35" s="4" t="s">
        <v>18</v>
      </c>
      <c r="B35" s="4" t="s">
        <v>12</v>
      </c>
      <c r="C35" s="4">
        <v>-4</v>
      </c>
      <c r="D35" s="4" t="str">
        <f t="shared" si="0"/>
        <v>Fair</v>
      </c>
    </row>
    <row r="36" spans="1:4" x14ac:dyDescent="0.25">
      <c r="A36" s="4" t="s">
        <v>18</v>
      </c>
      <c r="B36" s="4" t="s">
        <v>13</v>
      </c>
      <c r="C36" s="4">
        <v>3</v>
      </c>
      <c r="D36" s="4" t="str">
        <f t="shared" si="0"/>
        <v>Fair</v>
      </c>
    </row>
    <row r="37" spans="1:4" x14ac:dyDescent="0.25">
      <c r="A37" s="4" t="s">
        <v>18</v>
      </c>
      <c r="B37" s="4" t="s">
        <v>14</v>
      </c>
      <c r="C37" s="4">
        <v>-7</v>
      </c>
      <c r="D37" s="4" t="str">
        <f t="shared" si="0"/>
        <v>Fair</v>
      </c>
    </row>
    <row r="38" spans="1:4" x14ac:dyDescent="0.25">
      <c r="A38" s="4" t="s">
        <v>18</v>
      </c>
      <c r="B38" s="4" t="s">
        <v>15</v>
      </c>
      <c r="C38" s="4">
        <v>-7</v>
      </c>
      <c r="D38" s="4" t="str">
        <f t="shared" si="0"/>
        <v>Fair</v>
      </c>
    </row>
  </sheetData>
  <pageMargins left="0.78749999999999998" right="0.78749999999999998" top="1.05277777777778" bottom="1.05277777777778" header="0.78749999999999998" footer="0.78749999999999998"/>
  <pageSetup paperSize="9"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  <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cEquality</vt:lpstr>
      <vt:lpstr>mainInsight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 NAMRATHA PADIYAR</cp:lastModifiedBy>
  <cp:revision>3</cp:revision>
  <dcterms:created xsi:type="dcterms:W3CDTF">2021-06-27T18:07:09Z</dcterms:created>
  <dcterms:modified xsi:type="dcterms:W3CDTF">2025-12-11T07:06:33Z</dcterms:modified>
  <dc:language>en-US</dc:language>
</cp:coreProperties>
</file>